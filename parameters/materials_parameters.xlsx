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ls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<sst xmlns="http://schemas.openxmlformats.org/spreadsheetml/2006/main" count="127" uniqueCount="100">
  <si>
    <t xml:space="preserve">ID</t>
  </si>
  <si>
    <t xml:space="preserve">Material</t>
  </si>
  <si>
    <t xml:space="preserve">Parameter string</t>
  </si>
  <si>
    <t xml:space="preserve">E</t>
  </si>
  <si>
    <t xml:space="preserve">a</t>
  </si>
  <si>
    <t xml:space="preserve">a_f</t>
  </si>
  <si>
    <t xml:space="preserve">a_fn</t>
  </si>
  <si>
    <t xml:space="preserve">a_fs</t>
  </si>
  <si>
    <t xml:space="preserve">a_n</t>
  </si>
  <si>
    <t xml:space="preserve">a_ns</t>
  </si>
  <si>
    <t xml:space="preserve">a_s</t>
  </si>
  <si>
    <t xml:space="preserve">b</t>
  </si>
  <si>
    <t xml:space="preserve">b_f</t>
  </si>
  <si>
    <t xml:space="preserve">b_ff</t>
  </si>
  <si>
    <t xml:space="preserve">b_fn</t>
  </si>
  <si>
    <t xml:space="preserve">b_fs</t>
  </si>
  <si>
    <t xml:space="preserve">b_n</t>
  </si>
  <si>
    <t xml:space="preserve">b_nn</t>
  </si>
  <si>
    <t xml:space="preserve">b_ns</t>
  </si>
  <si>
    <t xml:space="preserve">b_s</t>
  </si>
  <si>
    <t xml:space="preserve">b_ss</t>
  </si>
  <si>
    <t xml:space="preserve">b_t</t>
  </si>
  <si>
    <t xml:space="preserve">c</t>
  </si>
  <si>
    <t xml:space="preserve">c_1</t>
  </si>
  <si>
    <t xml:space="preserve">c_2</t>
  </si>
  <si>
    <t xml:space="preserve">delta_f</t>
  </si>
  <si>
    <t xml:space="preserve">delta_n</t>
  </si>
  <si>
    <t xml:space="preserve">delta_s</t>
  </si>
  <si>
    <t xml:space="preserve">h_k</t>
  </si>
  <si>
    <t xml:space="preserve">k_1</t>
  </si>
  <si>
    <t xml:space="preserve">k_2</t>
  </si>
  <si>
    <t xml:space="preserve">kappa</t>
  </si>
  <si>
    <t xml:space="preserve">lmbda</t>
  </si>
  <si>
    <t xml:space="preserve">mu</t>
  </si>
  <si>
    <t xml:space="preserve">nu</t>
  </si>
  <si>
    <t xml:space="preserve">Linear material</t>
  </si>
  <si>
    <t xml:space="preserve">lmbda=100,E=100,nu=0.33</t>
  </si>
  <si>
    <t xml:space="preserve">Neo-Hooke material</t>
  </si>
  <si>
    <t xml:space="preserve">kappa=1000,c=33.345</t>
  </si>
  <si>
    <t xml:space="preserve">St. Venant-Kirchhoff material</t>
  </si>
  <si>
    <t xml:space="preserve">lmbda=100,mu=30</t>
  </si>
  <si>
    <t xml:space="preserve">Mooney-Rivlin material</t>
  </si>
  <si>
    <t xml:space="preserve">kappa=1000,c_1=30,c_2=20</t>
  </si>
  <si>
    <t xml:space="preserve">Demiray material</t>
  </si>
  <si>
    <t xml:space="preserve">kappa=1000,a=33.345,b=9.242</t>
  </si>
  <si>
    <t xml:space="preserve">Compressible neo-Hooke material</t>
  </si>
  <si>
    <t xml:space="preserve">lmbda=100,mu=33.345</t>
  </si>
  <si>
    <t xml:space="preserve">Holzapfel et al. (2000) artery material</t>
  </si>
  <si>
    <t xml:space="preserve">kappa=1000,c=33.345,k_1=2.3632,k_2=0.8393</t>
  </si>
  <si>
    <t xml:space="preserve">Holzapfel-Ogden material</t>
  </si>
  <si>
    <t xml:space="preserve">kappa=1000,a=33.345,b=9.242,a_f=18.535,b_f=15.972,a_s=2.564,b_s=10.446,a_fs=0.417,b_fs=11.602</t>
  </si>
  <si>
    <t xml:space="preserve">Guccione et al. (1995) material</t>
  </si>
  <si>
    <t xml:space="preserve">kappa=1000,a=0.876,b_f=18.48,b_t=3.58,b_fs=1.627</t>
  </si>
  <si>
    <t xml:space="preserve">Simple anisotropic material</t>
  </si>
  <si>
    <t xml:space="preserve">kappa=1000,c=33.345,a_f=18.535,b_f=2.564</t>
  </si>
  <si>
    <t xml:space="preserve">Reduced Holzapfel-Ogden material</t>
  </si>
  <si>
    <t xml:space="preserve">kappa=1000,a=33.345,b=9.242,a_f=18.535,b_f=15.972</t>
  </si>
  <si>
    <t xml:space="preserve">Gasser et al. (2006) artery material with dispersion</t>
  </si>
  <si>
    <t xml:space="preserve">kappa=1000,c=33.345,k_1=180,k_2=100,delta_f=0.314</t>
  </si>
  <si>
    <t xml:space="preserve">Reduced Holzapfel-Ogden material with dispersion</t>
  </si>
  <si>
    <t xml:space="preserve">kappa=1000,a=33.345,b=9.242,a_f=18.535,b_f=15.972,delta_f=0.226</t>
  </si>
  <si>
    <t xml:space="preserve">Usyk et al. (2000) material</t>
  </si>
  <si>
    <t xml:space="preserve">kappa=1000,a=0.88,b_ff=5,b_ss=6,b_nn=3,b_fs=10,b_fn=2,b_ns=2</t>
  </si>
  <si>
    <t xml:space="preserve">Compressible Mooney-Rivlin material</t>
  </si>
  <si>
    <t xml:space="preserve">lmbda=100,c_1=30,c_2=20</t>
  </si>
  <si>
    <t xml:space="preserve">Modified Mooney-Rivlin material</t>
  </si>
  <si>
    <t xml:space="preserve">Full Holzapfel-Ogden material</t>
  </si>
  <si>
    <t xml:space="preserve">kappa=1000,a=33.345,b=9.242,a_f=18.535,b_f=15.972,delta_f=0,a_s=2.564,b_s=10.446,delta_s=0,</t>
  </si>
  <si>
    <t xml:space="preserve">a_n=0,b_n=0,delta_n=0,a_fs=0.417,b_fs=11.602,a_fn=0,b_fn=0,a_ns=0,b_ns=0,h_k=0</t>
  </si>
  <si>
    <t xml:space="preserve">test_id.edp</t>
  </si>
  <si>
    <t xml:space="preserve">Id</t>
  </si>
  <si>
    <t xml:space="preserve">nu1</t>
  </si>
  <si>
    <t xml:space="preserve">C0</t>
  </si>
  <si>
    <t xml:space="preserve">C1</t>
  </si>
  <si>
    <t xml:space="preserve">C2</t>
  </si>
  <si>
    <t xml:space="preserve">C3</t>
  </si>
  <si>
    <t xml:space="preserve">variation de volume en %</t>
  </si>
  <si>
    <t xml:space="preserve">raison de l’arret</t>
  </si>
  <si>
    <t xml:space="preserve">taking only expo </t>
  </si>
  <si>
    <t xml:space="preserve">error</t>
  </si>
  <si>
    <t xml:space="preserve">increasing kappa</t>
  </si>
  <si>
    <t xml:space="preserve">small step</t>
  </si>
  <si>
    <t xml:space="preserve">energy went up too much</t>
  </si>
  <si>
    <t xml:space="preserve">Neo-hook case</t>
  </si>
  <si>
    <t xml:space="preserve">0.12 car  j = 0.35</t>
  </si>
  <si>
    <t xml:space="preserve">0.69 car j = 1.12</t>
  </si>
  <si>
    <t xml:space="preserve">1.3 car j = 0.28</t>
  </si>
  <si>
    <t xml:space="preserve">HGO_2009.edp</t>
  </si>
  <si>
    <t xml:space="preserve">energy went up too much, never decreased</t>
  </si>
  <si>
    <t xml:space="preserve">Chapelle-Fernandez_2025.edp</t>
  </si>
  <si>
    <t xml:space="preserve"> j = 3.88</t>
  </si>
  <si>
    <t xml:space="preserve">0.47 car j = 1.28</t>
  </si>
  <si>
    <t xml:space="preserve">0.82 car j = 0.82</t>
  </si>
  <si>
    <t xml:space="preserve">0.3 car j = 0.72</t>
  </si>
  <si>
    <t xml:space="preserve">Reduced Holzapfel-Ogden </t>
  </si>
  <si>
    <t xml:space="preserve">g</t>
  </si>
  <si>
    <t xml:space="preserve">LR</t>
  </si>
  <si>
    <t xml:space="preserve">alpha</t>
  </si>
  <si>
    <t xml:space="preserve">Line-search failed: alpha too small</t>
  </si>
  <si>
    <t xml:space="preserve">dEn devient positive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</si>
</sst>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@"/>
    <numFmt numFmtId="167" formatCode="0"/>
    <numFmt numFmtId="168" formatCode="0.0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mr10"/>
      <family val="0"/>
      <charset val="1"/>
    </font>
    <font>
      <sz val="12"/>
      <name val="cmr10"/>
      <family val="0"/>
      <charset val="1"/>
    </font>
    <font>
      <sz val="12"/>
      <color theme="1"/>
      <name val="cmr10"/>
      <family val="0"/>
      <charset val="1"/>
    </font>
    <font>
      <sz val="12"/>
      <color rgb="FFFF0000"/>
      <name val="cmr10"/>
      <family val="0"/>
      <charset val="1"/>
    </font>
    <font>
      <b val="true"/>
      <sz val="12"/>
      <color rgb="FFC9211E"/>
      <name val="cmr10"/>
      <family val="0"/>
      <charset val="1"/>
    </font>
    <font>
      <sz val="12"/>
      <color rgb="FFC9211E"/>
      <name val="cmr10"/>
      <family val="0"/>
      <charset val="1"/>
    </font>
    <font>
      <sz val="12"/>
      <color rgb="FFB85C00"/>
      <name val="cmr10"/>
      <family val="0"/>
      <charset val="1"/>
    </font>
    <font>
      <sz val="12"/>
      <color rgb="FFFF8000"/>
      <name val="cmr10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2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B85C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aterialsTable" displayName="MaterialsTable" ref="A1:AI18" headerRowCount="1" totalsRowCount="0" totalsRowShown="0">
  <autoFilter ref="A1:AI18"/>
  <tableColumns count="35">
    <tableColumn id="1" name="ID"/>
    <tableColumn id="2" name="Material"/>
    <tableColumn id="3" name="Parameter string"/>
    <tableColumn id="4" name="E"/>
    <tableColumn id="5" name="a"/>
    <tableColumn id="6" name="a_f"/>
    <tableColumn id="7" name="a_fn"/>
    <tableColumn id="8" name="a_fs"/>
    <tableColumn id="9" name="a_n"/>
    <tableColumn id="10" name="a_ns"/>
    <tableColumn id="11" name="a_s"/>
    <tableColumn id="12" name="b"/>
    <tableColumn id="13" name="b_f"/>
    <tableColumn id="14" name="b_ff"/>
    <tableColumn id="15" name="b_fn"/>
    <tableColumn id="16" name="b_fs"/>
    <tableColumn id="17" name="b_n"/>
    <tableColumn id="18" name="b_nn"/>
    <tableColumn id="19" name="b_ns"/>
    <tableColumn id="20" name="b_s"/>
    <tableColumn id="21" name="b_ss"/>
    <tableColumn id="22" name="b_t"/>
    <tableColumn id="23" name="c"/>
    <tableColumn id="24" name="c_1"/>
    <tableColumn id="25" name="c_2"/>
    <tableColumn id="26" name="delta_f"/>
    <tableColumn id="27" name="delta_n"/>
    <tableColumn id="28" name="delta_s"/>
    <tableColumn id="29" name="h_k"/>
    <tableColumn id="30" name="k_1"/>
    <tableColumn id="31" name="k_2"/>
    <tableColumn id="32" name="kappa"/>
    <tableColumn id="33" name="lmbda"/>
    <tableColumn id="34" name="mu"/>
    <tableColumn id="35" name="nu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12" activeCellId="0" sqref="C12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45.43"/>
    <col collapsed="false" customWidth="true" hidden="false" outlineLevel="0" max="3" min="3" style="1" width="85.15"/>
    <col collapsed="false" customWidth="true" hidden="false" outlineLevel="0" max="4" min="4" style="1" width="20.85"/>
    <col collapsed="false" customWidth="true" hidden="false" outlineLevel="0" max="35" min="5" style="1" width="13.62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15" hidden="false" customHeight="false" outlineLevel="0" collapsed="false">
      <c r="A2" s="1" t="n">
        <v>1</v>
      </c>
      <c r="B2" s="1" t="s">
        <v>35</v>
      </c>
      <c r="C2" s="1" t="s">
        <v>36</v>
      </c>
      <c r="D2" s="3" t="n">
        <v>100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3" t="n">
        <v>100</v>
      </c>
      <c r="AH2" s="4"/>
      <c r="AI2" s="3" t="n">
        <v>0.33</v>
      </c>
    </row>
    <row r="3" customFormat="false" ht="15" hidden="false" customHeight="false" outlineLevel="0" collapsed="false">
      <c r="A3" s="1" t="n">
        <v>2</v>
      </c>
      <c r="B3" s="1" t="s">
        <v>37</v>
      </c>
      <c r="C3" s="1" t="s">
        <v>38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 t="n">
        <v>33.345</v>
      </c>
      <c r="X3" s="4"/>
      <c r="Y3" s="4"/>
      <c r="Z3" s="4"/>
      <c r="AA3" s="4"/>
      <c r="AB3" s="4"/>
      <c r="AC3" s="4"/>
      <c r="AD3" s="4"/>
      <c r="AE3" s="4"/>
      <c r="AF3" s="3" t="n">
        <v>1000</v>
      </c>
      <c r="AG3" s="4"/>
      <c r="AH3" s="4"/>
      <c r="AI3" s="4"/>
    </row>
    <row r="4" customFormat="false" ht="15" hidden="false" customHeight="false" outlineLevel="0" collapsed="false">
      <c r="A4" s="1" t="n">
        <v>3</v>
      </c>
      <c r="B4" s="1" t="s">
        <v>39</v>
      </c>
      <c r="C4" s="1" t="s">
        <v>40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3" t="n">
        <v>100</v>
      </c>
      <c r="AH4" s="3" t="n">
        <v>30</v>
      </c>
      <c r="AI4" s="4"/>
    </row>
    <row r="5" customFormat="false" ht="15" hidden="false" customHeight="false" outlineLevel="0" collapsed="false">
      <c r="A5" s="1" t="n">
        <v>4</v>
      </c>
      <c r="B5" s="1" t="s">
        <v>41</v>
      </c>
      <c r="C5" s="1" t="s">
        <v>42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3" t="n">
        <v>30</v>
      </c>
      <c r="Y5" s="3" t="n">
        <v>20</v>
      </c>
      <c r="Z5" s="4"/>
      <c r="AA5" s="4"/>
      <c r="AB5" s="4"/>
      <c r="AC5" s="4"/>
      <c r="AD5" s="4"/>
      <c r="AE5" s="4"/>
      <c r="AF5" s="3" t="n">
        <v>1000</v>
      </c>
      <c r="AG5" s="4"/>
      <c r="AH5" s="4"/>
      <c r="AI5" s="4"/>
    </row>
    <row r="6" customFormat="false" ht="15" hidden="false" customHeight="false" outlineLevel="0" collapsed="false">
      <c r="A6" s="1" t="n">
        <v>5</v>
      </c>
      <c r="B6" s="1" t="s">
        <v>43</v>
      </c>
      <c r="C6" s="1" t="s">
        <v>44</v>
      </c>
      <c r="D6" s="4"/>
      <c r="E6" s="3" t="n">
        <v>33.345</v>
      </c>
      <c r="F6" s="4"/>
      <c r="G6" s="4"/>
      <c r="H6" s="4"/>
      <c r="I6" s="4"/>
      <c r="J6" s="4"/>
      <c r="K6" s="4"/>
      <c r="L6" s="3" t="n">
        <v>9.242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3" t="n">
        <v>1000</v>
      </c>
      <c r="AG6" s="4"/>
      <c r="AH6" s="4"/>
      <c r="AI6" s="4"/>
    </row>
    <row r="7" customFormat="false" ht="15" hidden="false" customHeight="false" outlineLevel="0" collapsed="false">
      <c r="A7" s="1" t="n">
        <v>6</v>
      </c>
      <c r="B7" s="1" t="s">
        <v>45</v>
      </c>
      <c r="C7" s="1" t="s">
        <v>46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3" t="n">
        <v>100</v>
      </c>
      <c r="AH7" s="3" t="n">
        <v>33.345</v>
      </c>
      <c r="AI7" s="4"/>
    </row>
    <row r="8" customFormat="false" ht="15" hidden="false" customHeight="false" outlineLevel="0" collapsed="false">
      <c r="A8" s="1" t="n">
        <v>7</v>
      </c>
      <c r="B8" s="5" t="s">
        <v>47</v>
      </c>
      <c r="C8" s="1" t="s">
        <v>48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3" t="n">
        <v>33.345</v>
      </c>
      <c r="X8" s="4"/>
      <c r="Y8" s="4"/>
      <c r="Z8" s="4"/>
      <c r="AA8" s="4"/>
      <c r="AB8" s="4"/>
      <c r="AC8" s="4"/>
      <c r="AD8" s="3" t="n">
        <v>2.3632</v>
      </c>
      <c r="AE8" s="3" t="n">
        <v>0.8393</v>
      </c>
      <c r="AF8" s="3" t="n">
        <v>1000</v>
      </c>
      <c r="AG8" s="4"/>
      <c r="AH8" s="4"/>
      <c r="AI8" s="4"/>
    </row>
    <row r="9" customFormat="false" ht="15" hidden="false" customHeight="false" outlineLevel="0" collapsed="false">
      <c r="A9" s="1" t="n">
        <v>8</v>
      </c>
      <c r="B9" s="5" t="s">
        <v>49</v>
      </c>
      <c r="C9" s="1" t="s">
        <v>50</v>
      </c>
      <c r="D9" s="4"/>
      <c r="E9" s="3" t="n">
        <v>33.345</v>
      </c>
      <c r="F9" s="3" t="n">
        <v>18.535</v>
      </c>
      <c r="G9" s="4"/>
      <c r="H9" s="3" t="n">
        <v>0.417</v>
      </c>
      <c r="I9" s="4"/>
      <c r="J9" s="4"/>
      <c r="K9" s="3" t="n">
        <v>2.564</v>
      </c>
      <c r="L9" s="3" t="n">
        <v>9.242</v>
      </c>
      <c r="M9" s="3" t="n">
        <v>15.972</v>
      </c>
      <c r="N9" s="4"/>
      <c r="O9" s="4"/>
      <c r="P9" s="3" t="n">
        <v>11.602</v>
      </c>
      <c r="Q9" s="4"/>
      <c r="R9" s="4"/>
      <c r="S9" s="4"/>
      <c r="T9" s="3" t="n">
        <v>10.446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3" t="n">
        <v>1000</v>
      </c>
      <c r="AG9" s="4"/>
      <c r="AH9" s="4"/>
      <c r="AI9" s="4"/>
    </row>
    <row r="10" customFormat="false" ht="15" hidden="false" customHeight="false" outlineLevel="0" collapsed="false">
      <c r="A10" s="1" t="n">
        <v>9</v>
      </c>
      <c r="B10" s="1" t="s">
        <v>51</v>
      </c>
      <c r="C10" s="1" t="s">
        <v>52</v>
      </c>
      <c r="D10" s="4"/>
      <c r="E10" s="3" t="n">
        <v>0.876</v>
      </c>
      <c r="F10" s="4"/>
      <c r="G10" s="4"/>
      <c r="H10" s="4"/>
      <c r="I10" s="4"/>
      <c r="J10" s="4"/>
      <c r="K10" s="4"/>
      <c r="L10" s="4"/>
      <c r="M10" s="3" t="n">
        <v>18.48</v>
      </c>
      <c r="N10" s="4"/>
      <c r="O10" s="4"/>
      <c r="P10" s="3" t="n">
        <v>1.627</v>
      </c>
      <c r="Q10" s="4"/>
      <c r="R10" s="4"/>
      <c r="S10" s="4"/>
      <c r="T10" s="4"/>
      <c r="U10" s="4"/>
      <c r="V10" s="3" t="n">
        <v>3.58</v>
      </c>
      <c r="W10" s="4"/>
      <c r="X10" s="4"/>
      <c r="Y10" s="4"/>
      <c r="Z10" s="4"/>
      <c r="AA10" s="4"/>
      <c r="AB10" s="4"/>
      <c r="AC10" s="4"/>
      <c r="AD10" s="4"/>
      <c r="AE10" s="4"/>
      <c r="AF10" s="3" t="n">
        <v>1000</v>
      </c>
      <c r="AG10" s="4"/>
      <c r="AH10" s="4"/>
      <c r="AI10" s="4"/>
    </row>
    <row r="11" customFormat="false" ht="15" hidden="false" customHeight="false" outlineLevel="0" collapsed="false">
      <c r="A11" s="1" t="n">
        <v>10</v>
      </c>
      <c r="B11" s="1" t="s">
        <v>53</v>
      </c>
      <c r="C11" s="1" t="s">
        <v>54</v>
      </c>
      <c r="D11" s="4"/>
      <c r="E11" s="4"/>
      <c r="F11" s="3" t="n">
        <v>18.535</v>
      </c>
      <c r="G11" s="4"/>
      <c r="H11" s="4"/>
      <c r="I11" s="4"/>
      <c r="J11" s="4"/>
      <c r="K11" s="4"/>
      <c r="L11" s="4"/>
      <c r="M11" s="3" t="n">
        <v>2.564</v>
      </c>
      <c r="N11" s="4"/>
      <c r="O11" s="4"/>
      <c r="P11" s="4"/>
      <c r="Q11" s="4"/>
      <c r="R11" s="4"/>
      <c r="S11" s="4"/>
      <c r="T11" s="4"/>
      <c r="U11" s="4"/>
      <c r="V11" s="4"/>
      <c r="W11" s="3" t="n">
        <v>33.345</v>
      </c>
      <c r="X11" s="4"/>
      <c r="Y11" s="4"/>
      <c r="Z11" s="4"/>
      <c r="AA11" s="4"/>
      <c r="AB11" s="4"/>
      <c r="AC11" s="4"/>
      <c r="AD11" s="4"/>
      <c r="AE11" s="4"/>
      <c r="AF11" s="3" t="n">
        <v>1000</v>
      </c>
      <c r="AG11" s="4"/>
      <c r="AH11" s="4"/>
      <c r="AI11" s="4"/>
    </row>
    <row r="12" customFormat="false" ht="15" hidden="false" customHeight="false" outlineLevel="0" collapsed="false">
      <c r="A12" s="1" t="n">
        <v>11</v>
      </c>
      <c r="B12" s="5" t="s">
        <v>55</v>
      </c>
      <c r="C12" s="1" t="s">
        <v>56</v>
      </c>
      <c r="D12" s="4"/>
      <c r="E12" s="3" t="n">
        <v>33.345</v>
      </c>
      <c r="F12" s="3" t="n">
        <v>18.535</v>
      </c>
      <c r="G12" s="4"/>
      <c r="H12" s="4"/>
      <c r="I12" s="4"/>
      <c r="J12" s="4"/>
      <c r="K12" s="4"/>
      <c r="L12" s="3" t="n">
        <v>9.242</v>
      </c>
      <c r="M12" s="3" t="n">
        <v>15.972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3" t="n">
        <v>1000</v>
      </c>
      <c r="AG12" s="4"/>
      <c r="AH12" s="4"/>
      <c r="AI12" s="4"/>
    </row>
    <row r="13" customFormat="false" ht="15" hidden="false" customHeight="false" outlineLevel="0" collapsed="false">
      <c r="A13" s="1" t="n">
        <v>12</v>
      </c>
      <c r="B13" s="1" t="s">
        <v>57</v>
      </c>
      <c r="C13" s="1" t="s">
        <v>58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3" t="n">
        <v>33.345</v>
      </c>
      <c r="X13" s="4"/>
      <c r="Y13" s="4"/>
      <c r="Z13" s="3" t="n">
        <v>0.314</v>
      </c>
      <c r="AA13" s="4"/>
      <c r="AB13" s="4"/>
      <c r="AC13" s="4"/>
      <c r="AD13" s="3" t="n">
        <v>180</v>
      </c>
      <c r="AE13" s="3" t="n">
        <v>100</v>
      </c>
      <c r="AF13" s="3" t="n">
        <v>1000</v>
      </c>
      <c r="AG13" s="4"/>
      <c r="AH13" s="4"/>
      <c r="AI13" s="4"/>
    </row>
    <row r="14" customFormat="false" ht="15" hidden="false" customHeight="false" outlineLevel="0" collapsed="false">
      <c r="A14" s="1" t="n">
        <v>13</v>
      </c>
      <c r="B14" s="5" t="s">
        <v>59</v>
      </c>
      <c r="C14" s="1" t="s">
        <v>60</v>
      </c>
      <c r="D14" s="4"/>
      <c r="E14" s="3" t="n">
        <v>33.345</v>
      </c>
      <c r="F14" s="3" t="n">
        <v>18.535</v>
      </c>
      <c r="G14" s="4"/>
      <c r="H14" s="4"/>
      <c r="I14" s="4"/>
      <c r="J14" s="4"/>
      <c r="K14" s="4"/>
      <c r="L14" s="3" t="n">
        <v>9.242</v>
      </c>
      <c r="M14" s="3" t="n">
        <v>15.972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3" t="n">
        <v>0.226</v>
      </c>
      <c r="AA14" s="4"/>
      <c r="AB14" s="4"/>
      <c r="AC14" s="4"/>
      <c r="AD14" s="4"/>
      <c r="AE14" s="4"/>
      <c r="AF14" s="3" t="n">
        <v>1000</v>
      </c>
      <c r="AG14" s="4"/>
      <c r="AH14" s="4"/>
      <c r="AI14" s="4"/>
    </row>
    <row r="15" customFormat="false" ht="15" hidden="false" customHeight="false" outlineLevel="0" collapsed="false">
      <c r="A15" s="1" t="n">
        <v>14</v>
      </c>
      <c r="B15" s="1" t="s">
        <v>61</v>
      </c>
      <c r="C15" s="1" t="s">
        <v>62</v>
      </c>
      <c r="D15" s="4"/>
      <c r="E15" s="3" t="n">
        <v>0.88</v>
      </c>
      <c r="F15" s="4"/>
      <c r="G15" s="4"/>
      <c r="H15" s="4"/>
      <c r="I15" s="4"/>
      <c r="J15" s="4"/>
      <c r="K15" s="4"/>
      <c r="L15" s="4"/>
      <c r="M15" s="4"/>
      <c r="N15" s="3" t="n">
        <v>5</v>
      </c>
      <c r="O15" s="3" t="n">
        <v>2</v>
      </c>
      <c r="P15" s="3" t="n">
        <v>10</v>
      </c>
      <c r="Q15" s="4"/>
      <c r="R15" s="3" t="n">
        <v>3</v>
      </c>
      <c r="S15" s="3" t="n">
        <v>2</v>
      </c>
      <c r="T15" s="4"/>
      <c r="U15" s="3" t="n">
        <v>6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3" t="n">
        <v>1000</v>
      </c>
      <c r="AG15" s="4"/>
      <c r="AH15" s="4"/>
      <c r="AI15" s="4"/>
    </row>
    <row r="16" customFormat="false" ht="15" hidden="false" customHeight="false" outlineLevel="0" collapsed="false">
      <c r="A16" s="1" t="n">
        <v>15</v>
      </c>
      <c r="B16" s="1" t="s">
        <v>63</v>
      </c>
      <c r="C16" s="1" t="s">
        <v>64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3" t="n">
        <v>30</v>
      </c>
      <c r="Y16" s="3" t="n">
        <v>20</v>
      </c>
      <c r="Z16" s="4"/>
      <c r="AA16" s="4"/>
      <c r="AB16" s="4"/>
      <c r="AC16" s="4"/>
      <c r="AD16" s="4"/>
      <c r="AE16" s="4"/>
      <c r="AF16" s="4"/>
      <c r="AG16" s="3" t="n">
        <v>100</v>
      </c>
      <c r="AH16" s="4"/>
      <c r="AI16" s="4"/>
    </row>
    <row r="17" customFormat="false" ht="15" hidden="false" customHeight="false" outlineLevel="0" collapsed="false">
      <c r="A17" s="1" t="n">
        <v>16</v>
      </c>
      <c r="B17" s="1" t="s">
        <v>65</v>
      </c>
      <c r="C17" s="1" t="s">
        <v>64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3" t="n">
        <v>30</v>
      </c>
      <c r="Y17" s="3" t="n">
        <v>20</v>
      </c>
      <c r="Z17" s="4"/>
      <c r="AA17" s="4"/>
      <c r="AB17" s="4"/>
      <c r="AC17" s="4"/>
      <c r="AD17" s="4"/>
      <c r="AE17" s="4"/>
      <c r="AF17" s="4"/>
      <c r="AG17" s="3" t="n">
        <v>100</v>
      </c>
      <c r="AH17" s="4"/>
      <c r="AI17" s="4"/>
    </row>
    <row r="18" customFormat="false" ht="15" hidden="false" customHeight="false" outlineLevel="0" collapsed="false">
      <c r="A18" s="1" t="n">
        <v>17</v>
      </c>
      <c r="B18" s="5" t="s">
        <v>66</v>
      </c>
      <c r="C18" s="1" t="s">
        <v>67</v>
      </c>
      <c r="D18" s="4"/>
      <c r="E18" s="3" t="n">
        <v>33.345</v>
      </c>
      <c r="F18" s="3" t="n">
        <v>18.535</v>
      </c>
      <c r="G18" s="3" t="n">
        <v>0</v>
      </c>
      <c r="H18" s="3" t="n">
        <v>0.417</v>
      </c>
      <c r="I18" s="3" t="n">
        <v>0</v>
      </c>
      <c r="J18" s="3" t="n">
        <v>0</v>
      </c>
      <c r="K18" s="3" t="n">
        <v>2.564</v>
      </c>
      <c r="L18" s="3" t="n">
        <v>9.242</v>
      </c>
      <c r="M18" s="3" t="n">
        <v>15.972</v>
      </c>
      <c r="N18" s="4"/>
      <c r="O18" s="3" t="n">
        <v>0</v>
      </c>
      <c r="P18" s="3" t="n">
        <v>11.602</v>
      </c>
      <c r="Q18" s="3" t="n">
        <v>0</v>
      </c>
      <c r="R18" s="4"/>
      <c r="S18" s="3" t="n">
        <v>0</v>
      </c>
      <c r="T18" s="3" t="n">
        <v>10.446</v>
      </c>
      <c r="U18" s="4"/>
      <c r="V18" s="4"/>
      <c r="W18" s="4"/>
      <c r="X18" s="4"/>
      <c r="Y18" s="4"/>
      <c r="Z18" s="3" t="n">
        <v>0</v>
      </c>
      <c r="AA18" s="3" t="n">
        <v>0</v>
      </c>
      <c r="AB18" s="3" t="n">
        <v>0</v>
      </c>
      <c r="AC18" s="3" t="n">
        <v>0</v>
      </c>
      <c r="AD18" s="4"/>
      <c r="AE18" s="4"/>
      <c r="AF18" s="3" t="n">
        <v>1000</v>
      </c>
      <c r="AG18" s="4"/>
      <c r="AH18" s="4"/>
      <c r="AI18" s="4"/>
    </row>
    <row r="19" customFormat="false" ht="15" hidden="false" customHeight="false" outlineLevel="0" collapsed="false">
      <c r="C19" s="1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J12" activeCellId="0" sqref="J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41"/>
    <col collapsed="false" customWidth="true" hidden="false" outlineLevel="0" max="8" min="8" style="1" width="21.97"/>
    <col collapsed="false" customWidth="true" hidden="false" outlineLevel="0" max="9" min="9" style="1" width="24.76"/>
    <col collapsed="false" customWidth="true" hidden="false" outlineLevel="0" max="10" min="10" style="1" width="26.84"/>
    <col collapsed="false" customWidth="true" hidden="false" outlineLevel="0" max="11" min="11" style="1" width="45.07"/>
  </cols>
  <sheetData>
    <row r="1" customFormat="false" ht="15" hidden="false" customHeight="false" outlineLevel="0" collapsed="false">
      <c r="A1" s="6" t="s">
        <v>69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31</v>
      </c>
      <c r="I1" s="7"/>
      <c r="J1" s="8" t="s">
        <v>76</v>
      </c>
      <c r="K1" s="8" t="s">
        <v>77</v>
      </c>
      <c r="L1" s="7"/>
    </row>
    <row r="2" customFormat="false" ht="15" hidden="false" customHeight="false" outlineLevel="0" collapsed="false">
      <c r="A2" s="9" t="s">
        <v>78</v>
      </c>
      <c r="B2" s="10" t="n">
        <v>0</v>
      </c>
      <c r="C2" s="11" t="n">
        <v>0</v>
      </c>
      <c r="D2" s="11" t="n">
        <v>0</v>
      </c>
      <c r="E2" s="11" t="n">
        <v>0</v>
      </c>
      <c r="F2" s="12" t="n">
        <v>10</v>
      </c>
      <c r="G2" s="12" t="n">
        <v>1</v>
      </c>
      <c r="H2" s="12" t="n">
        <v>400</v>
      </c>
      <c r="I2" s="7"/>
      <c r="J2" s="13" t="s">
        <v>79</v>
      </c>
      <c r="K2" s="7"/>
      <c r="L2" s="7"/>
    </row>
    <row r="3" customFormat="false" ht="15" hidden="false" customHeight="false" outlineLevel="0" collapsed="false">
      <c r="A3" s="9"/>
      <c r="B3" s="10"/>
      <c r="C3" s="11"/>
      <c r="D3" s="11"/>
      <c r="E3" s="11"/>
      <c r="F3" s="12"/>
      <c r="G3" s="12"/>
      <c r="H3" s="12"/>
      <c r="I3" s="7"/>
      <c r="J3" s="13"/>
      <c r="K3" s="7"/>
      <c r="L3" s="7"/>
    </row>
    <row r="4" customFormat="false" ht="15" hidden="false" customHeight="false" outlineLevel="0" collapsed="false">
      <c r="A4" s="9" t="s">
        <v>80</v>
      </c>
      <c r="B4" s="10" t="n">
        <v>1</v>
      </c>
      <c r="C4" s="12" t="n">
        <v>2</v>
      </c>
      <c r="D4" s="12" t="n">
        <v>10</v>
      </c>
      <c r="E4" s="12" t="n">
        <v>0.1</v>
      </c>
      <c r="F4" s="12" t="n">
        <v>2</v>
      </c>
      <c r="G4" s="12" t="n">
        <v>0.8</v>
      </c>
      <c r="H4" s="12" t="n">
        <v>200</v>
      </c>
      <c r="I4" s="7"/>
      <c r="J4" s="8" t="n">
        <v>29.27</v>
      </c>
      <c r="K4" s="7" t="s">
        <v>81</v>
      </c>
      <c r="L4" s="7"/>
    </row>
    <row r="5" customFormat="false" ht="15" hidden="false" customHeight="false" outlineLevel="0" collapsed="false">
      <c r="A5" s="9"/>
      <c r="B5" s="10" t="n">
        <v>2</v>
      </c>
      <c r="C5" s="12" t="n">
        <v>2</v>
      </c>
      <c r="D5" s="12" t="n">
        <v>10</v>
      </c>
      <c r="E5" s="12" t="n">
        <v>0.1</v>
      </c>
      <c r="F5" s="12" t="n">
        <v>2</v>
      </c>
      <c r="G5" s="12" t="n">
        <v>0.8</v>
      </c>
      <c r="H5" s="12" t="n">
        <v>1000</v>
      </c>
      <c r="I5" s="7"/>
      <c r="J5" s="8" t="n">
        <v>23</v>
      </c>
      <c r="K5" s="7" t="s">
        <v>82</v>
      </c>
      <c r="L5" s="7"/>
    </row>
    <row r="6" customFormat="false" ht="15" hidden="false" customHeight="false" outlineLevel="0" collapsed="false">
      <c r="A6" s="9"/>
      <c r="B6" s="10"/>
      <c r="C6" s="12"/>
      <c r="D6" s="12"/>
      <c r="E6" s="12"/>
      <c r="F6" s="12"/>
      <c r="G6" s="12"/>
      <c r="H6" s="12"/>
      <c r="I6" s="7"/>
      <c r="J6" s="8"/>
      <c r="K6" s="7"/>
      <c r="L6" s="7"/>
    </row>
    <row r="7" customFormat="false" ht="15" hidden="false" customHeight="false" outlineLevel="0" collapsed="false">
      <c r="A7" s="14" t="s">
        <v>83</v>
      </c>
      <c r="B7" s="10" t="n">
        <v>3</v>
      </c>
      <c r="C7" s="12" t="n">
        <v>2</v>
      </c>
      <c r="D7" s="15" t="n">
        <v>0</v>
      </c>
      <c r="E7" s="12" t="n">
        <v>0.1</v>
      </c>
      <c r="F7" s="15" t="n">
        <v>0</v>
      </c>
      <c r="G7" s="12" t="n">
        <v>0.8</v>
      </c>
      <c r="H7" s="12" t="n">
        <v>400</v>
      </c>
      <c r="I7" s="7"/>
      <c r="J7" s="16" t="s">
        <v>84</v>
      </c>
      <c r="K7" s="7"/>
      <c r="L7" s="7"/>
    </row>
    <row r="8" customFormat="false" ht="15" hidden="false" customHeight="false" outlineLevel="0" collapsed="false">
      <c r="A8" s="9"/>
      <c r="B8" s="10"/>
      <c r="C8" s="12"/>
      <c r="D8" s="15"/>
      <c r="E8" s="12"/>
      <c r="F8" s="15"/>
      <c r="G8" s="12"/>
      <c r="H8" s="12"/>
      <c r="I8" s="7"/>
      <c r="J8" s="16"/>
      <c r="K8" s="14"/>
      <c r="L8" s="7"/>
    </row>
    <row r="9" customFormat="false" ht="15" hidden="false" customHeight="false" outlineLevel="0" collapsed="false">
      <c r="A9" s="9" t="s">
        <v>78</v>
      </c>
      <c r="B9" s="10" t="n">
        <v>4</v>
      </c>
      <c r="C9" s="15" t="n">
        <v>0</v>
      </c>
      <c r="D9" s="12" t="n">
        <v>10</v>
      </c>
      <c r="E9" s="12" t="n">
        <v>1</v>
      </c>
      <c r="F9" s="15" t="n">
        <v>0</v>
      </c>
      <c r="G9" s="15" t="n">
        <v>0</v>
      </c>
      <c r="H9" s="12" t="n">
        <v>400</v>
      </c>
      <c r="I9" s="7"/>
      <c r="J9" s="13" t="s">
        <v>79</v>
      </c>
      <c r="K9" s="7"/>
      <c r="L9" s="7"/>
    </row>
    <row r="10" customFormat="false" ht="15" hidden="false" customHeight="false" outlineLevel="0" collapsed="false">
      <c r="A10" s="9"/>
      <c r="B10" s="10" t="n">
        <v>5</v>
      </c>
      <c r="C10" s="15" t="n">
        <v>0</v>
      </c>
      <c r="D10" s="12" t="n">
        <v>10</v>
      </c>
      <c r="E10" s="12" t="n">
        <v>1</v>
      </c>
      <c r="F10" s="15" t="n">
        <v>0</v>
      </c>
      <c r="G10" s="15" t="n">
        <v>0</v>
      </c>
      <c r="H10" s="12" t="n">
        <v>40</v>
      </c>
      <c r="I10" s="7"/>
      <c r="J10" s="13" t="s">
        <v>79</v>
      </c>
      <c r="K10" s="7"/>
      <c r="L10" s="7"/>
    </row>
    <row r="11" customFormat="false" ht="15" hidden="false" customHeight="false" outlineLevel="0" collapsed="false">
      <c r="A11" s="9"/>
      <c r="B11" s="10"/>
      <c r="C11" s="15"/>
      <c r="D11" s="12"/>
      <c r="E11" s="12"/>
      <c r="F11" s="15"/>
      <c r="G11" s="15"/>
      <c r="H11" s="12"/>
      <c r="I11" s="7"/>
      <c r="J11" s="13"/>
      <c r="K11" s="7"/>
      <c r="L11" s="7"/>
    </row>
    <row r="12" customFormat="false" ht="15" hidden="false" customHeight="false" outlineLevel="0" collapsed="false">
      <c r="A12" s="9" t="s">
        <v>80</v>
      </c>
      <c r="B12" s="10" t="n">
        <v>6</v>
      </c>
      <c r="C12" s="12" t="n">
        <v>1</v>
      </c>
      <c r="D12" s="12" t="n">
        <v>20</v>
      </c>
      <c r="E12" s="12" t="n">
        <v>0.5</v>
      </c>
      <c r="F12" s="12" t="n">
        <v>10</v>
      </c>
      <c r="G12" s="12" t="n">
        <v>1</v>
      </c>
      <c r="H12" s="12" t="n">
        <v>400</v>
      </c>
      <c r="I12" s="7"/>
      <c r="J12" s="8" t="n">
        <v>27.32</v>
      </c>
      <c r="K12" s="7" t="s">
        <v>81</v>
      </c>
      <c r="L12" s="7"/>
    </row>
    <row r="13" customFormat="false" ht="15" hidden="false" customHeight="false" outlineLevel="0" collapsed="false">
      <c r="A13" s="9"/>
      <c r="B13" s="10" t="n">
        <v>7</v>
      </c>
      <c r="C13" s="12" t="n">
        <v>1</v>
      </c>
      <c r="D13" s="12" t="n">
        <v>20</v>
      </c>
      <c r="E13" s="12" t="n">
        <v>0.5</v>
      </c>
      <c r="F13" s="12" t="n">
        <v>10</v>
      </c>
      <c r="G13" s="12" t="n">
        <v>1</v>
      </c>
      <c r="H13" s="12" t="n">
        <v>200</v>
      </c>
      <c r="I13" s="7"/>
      <c r="J13" s="8" t="n">
        <v>27.66</v>
      </c>
      <c r="K13" s="7" t="s">
        <v>81</v>
      </c>
      <c r="L13" s="7"/>
    </row>
    <row r="14" customFormat="false" ht="15" hidden="false" customHeight="false" outlineLevel="0" collapsed="false">
      <c r="A14" s="9"/>
      <c r="B14" s="10" t="n">
        <v>8</v>
      </c>
      <c r="C14" s="12" t="n">
        <v>1</v>
      </c>
      <c r="D14" s="12" t="n">
        <v>20</v>
      </c>
      <c r="E14" s="12" t="n">
        <v>0.5</v>
      </c>
      <c r="F14" s="12" t="n">
        <v>10</v>
      </c>
      <c r="G14" s="12" t="n">
        <v>1</v>
      </c>
      <c r="H14" s="12" t="n">
        <v>800</v>
      </c>
      <c r="I14" s="7"/>
      <c r="J14" s="8" t="n">
        <v>26.9</v>
      </c>
      <c r="K14" s="7" t="s">
        <v>81</v>
      </c>
      <c r="L14" s="7"/>
    </row>
    <row r="15" customFormat="false" ht="15" hidden="false" customHeight="false" outlineLevel="0" collapsed="false">
      <c r="A15" s="9"/>
      <c r="B15" s="10"/>
      <c r="C15" s="12"/>
      <c r="D15" s="12"/>
      <c r="E15" s="12"/>
      <c r="F15" s="12"/>
      <c r="G15" s="12"/>
      <c r="H15" s="12"/>
      <c r="I15" s="7"/>
      <c r="J15" s="8"/>
      <c r="K15" s="7"/>
      <c r="L15" s="7"/>
    </row>
    <row r="16" customFormat="false" ht="15" hidden="false" customHeight="false" outlineLevel="0" collapsed="false">
      <c r="A16" s="9"/>
      <c r="B16" s="10" t="n">
        <v>9</v>
      </c>
      <c r="C16" s="12" t="n">
        <v>1</v>
      </c>
      <c r="D16" s="12" t="n">
        <v>10</v>
      </c>
      <c r="E16" s="12" t="n">
        <v>0.01</v>
      </c>
      <c r="F16" s="12" t="n">
        <v>10</v>
      </c>
      <c r="G16" s="12" t="n">
        <v>0.01</v>
      </c>
      <c r="H16" s="12" t="n">
        <v>400</v>
      </c>
      <c r="I16" s="7"/>
      <c r="J16" s="16" t="s">
        <v>85</v>
      </c>
      <c r="K16" s="14"/>
      <c r="L16" s="7"/>
    </row>
    <row r="17" customFormat="false" ht="15" hidden="false" customHeight="false" outlineLevel="0" collapsed="false">
      <c r="A17" s="9"/>
      <c r="B17" s="10" t="n">
        <v>10</v>
      </c>
      <c r="C17" s="12" t="n">
        <v>2</v>
      </c>
      <c r="D17" s="12" t="n">
        <v>20</v>
      </c>
      <c r="E17" s="12" t="n">
        <v>0.01</v>
      </c>
      <c r="F17" s="12" t="n">
        <v>20</v>
      </c>
      <c r="G17" s="12" t="n">
        <v>0.02</v>
      </c>
      <c r="H17" s="12" t="n">
        <v>400</v>
      </c>
      <c r="I17" s="7"/>
      <c r="J17" s="16" t="s">
        <v>86</v>
      </c>
      <c r="K17" s="14"/>
      <c r="L17" s="7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7"/>
      <c r="J18" s="8"/>
      <c r="K18" s="7"/>
      <c r="L18" s="7"/>
    </row>
    <row r="19" customFormat="false" ht="15" hidden="false" customHeight="false" outlineLevel="0" collapsed="false">
      <c r="A19" s="9" t="s">
        <v>87</v>
      </c>
      <c r="B19" s="10" t="n">
        <v>2009</v>
      </c>
      <c r="C19" s="12" t="n">
        <v>0.5</v>
      </c>
      <c r="D19" s="12" t="n">
        <v>3.125</v>
      </c>
      <c r="E19" s="12" t="n">
        <v>8</v>
      </c>
      <c r="F19" s="12" t="n">
        <v>625</v>
      </c>
      <c r="G19" s="12" t="n">
        <v>16</v>
      </c>
      <c r="H19" s="12" t="n">
        <v>100</v>
      </c>
      <c r="I19" s="7"/>
      <c r="J19" s="16" t="n">
        <v>0.02</v>
      </c>
      <c r="K19" s="14" t="s">
        <v>88</v>
      </c>
      <c r="L19" s="7"/>
    </row>
    <row r="20" customFormat="false" ht="15" hidden="false" customHeight="false" outlineLevel="0" collapsed="false">
      <c r="A20" s="9" t="s">
        <v>89</v>
      </c>
      <c r="B20" s="10" t="n">
        <v>2025</v>
      </c>
      <c r="C20" s="15" t="n">
        <v>0</v>
      </c>
      <c r="D20" s="12" t="n">
        <v>1900</v>
      </c>
      <c r="E20" s="12" t="n">
        <v>0.11</v>
      </c>
      <c r="F20" s="12" t="n">
        <v>1900</v>
      </c>
      <c r="G20" s="12" t="n">
        <v>0.11</v>
      </c>
      <c r="H20" s="12" t="n">
        <f aca="false">2*10^5</f>
        <v>200000</v>
      </c>
      <c r="I20" s="7"/>
      <c r="J20" s="16" t="n">
        <v>0.03</v>
      </c>
      <c r="K20" s="14" t="s">
        <v>82</v>
      </c>
      <c r="L20" s="7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7"/>
      <c r="J21" s="8"/>
      <c r="K21" s="7"/>
      <c r="L21" s="7"/>
    </row>
    <row r="22" customFormat="false" ht="15" hidden="false" customHeight="false" outlineLevel="0" collapsed="false">
      <c r="A22" s="10"/>
      <c r="B22" s="10" t="n">
        <v>11</v>
      </c>
      <c r="C22" s="12" t="n">
        <v>0.154791209711193</v>
      </c>
      <c r="D22" s="12" t="n">
        <v>0.877756879504105</v>
      </c>
      <c r="E22" s="12" t="n">
        <v>0.0950011940712269</v>
      </c>
      <c r="F22" s="12" t="n">
        <v>1.39473605811873</v>
      </c>
      <c r="G22" s="12" t="n">
        <v>0.00941773478876495</v>
      </c>
      <c r="H22" s="12" t="n">
        <v>133.659745757129</v>
      </c>
      <c r="I22" s="7"/>
      <c r="J22" s="17" t="n">
        <v>7</v>
      </c>
      <c r="K22" s="14" t="s">
        <v>90</v>
      </c>
      <c r="L22" s="7"/>
    </row>
    <row r="23" customFormat="false" ht="15" hidden="false" customHeight="false" outlineLevel="0" collapsed="false">
      <c r="A23" s="10"/>
      <c r="B23" s="10" t="n">
        <v>12</v>
      </c>
      <c r="C23" s="12" t="n">
        <v>0.352227940398071</v>
      </c>
      <c r="D23" s="12" t="n">
        <v>3.57212861055391</v>
      </c>
      <c r="E23" s="12" t="n">
        <v>0.121683249634879</v>
      </c>
      <c r="F23" s="12" t="n">
        <v>2.90077187579113</v>
      </c>
      <c r="G23" s="12" t="n">
        <v>0.137079802423258</v>
      </c>
      <c r="H23" s="12" t="n">
        <v>224.969438929466</v>
      </c>
      <c r="I23" s="7"/>
      <c r="J23" s="16" t="s">
        <v>91</v>
      </c>
      <c r="K23" s="14"/>
      <c r="L23" s="7"/>
    </row>
    <row r="24" customFormat="false" ht="15" hidden="false" customHeight="false" outlineLevel="0" collapsed="false">
      <c r="A24" s="10"/>
      <c r="B24" s="10" t="n">
        <v>13</v>
      </c>
      <c r="C24" s="12" t="n">
        <v>0.528773024016133</v>
      </c>
      <c r="D24" s="12" t="n">
        <v>5.64552322654166</v>
      </c>
      <c r="E24" s="12" t="n">
        <v>0.251898005683906</v>
      </c>
      <c r="F24" s="12" t="n">
        <v>4.45447744356955</v>
      </c>
      <c r="G24" s="12" t="n">
        <v>0.255458478701584</v>
      </c>
      <c r="H24" s="12" t="n">
        <v>238.126456586001</v>
      </c>
      <c r="I24" s="7"/>
      <c r="J24" s="16" t="s">
        <v>92</v>
      </c>
      <c r="K24" s="14"/>
      <c r="L24" s="7"/>
    </row>
    <row r="25" customFormat="false" ht="15" hidden="false" customHeight="false" outlineLevel="0" collapsed="false">
      <c r="A25" s="10"/>
      <c r="B25" s="10" t="n">
        <v>14</v>
      </c>
      <c r="C25" s="12" t="n">
        <v>0.765526234398516</v>
      </c>
      <c r="D25" s="12" t="n">
        <v>7.26332879824413</v>
      </c>
      <c r="E25" s="12" t="n">
        <v>0.382050686268452</v>
      </c>
      <c r="F25" s="12" t="n">
        <v>6.70905193625974</v>
      </c>
      <c r="G25" s="12" t="n">
        <v>0.39706980243949</v>
      </c>
      <c r="H25" s="12" t="n">
        <v>413.739627646931</v>
      </c>
      <c r="I25" s="7"/>
      <c r="J25" s="8" t="n">
        <v>3.16</v>
      </c>
      <c r="K25" s="7" t="s">
        <v>82</v>
      </c>
      <c r="L25" s="7"/>
    </row>
    <row r="26" customFormat="false" ht="15" hidden="false" customHeight="false" outlineLevel="0" collapsed="false">
      <c r="A26" s="10"/>
      <c r="B26" s="10" t="n">
        <v>15</v>
      </c>
      <c r="C26" s="12" t="n">
        <v>0.955676699414752</v>
      </c>
      <c r="D26" s="12" t="n">
        <v>8.38927741570394</v>
      </c>
      <c r="E26" s="12" t="n">
        <v>0.452205379368976</v>
      </c>
      <c r="F26" s="12" t="n">
        <v>8.08760753157446</v>
      </c>
      <c r="G26" s="12" t="n">
        <v>0.415428949206755</v>
      </c>
      <c r="H26" s="12" t="n">
        <v>489.572699511276</v>
      </c>
      <c r="I26" s="7"/>
      <c r="J26" s="16" t="s">
        <v>93</v>
      </c>
      <c r="K26" s="7"/>
      <c r="L26" s="7"/>
    </row>
    <row r="27" customFormat="false" ht="15" hidden="false" customHeight="false" outlineLevel="0" collapsed="false">
      <c r="A27" s="10"/>
      <c r="B27" s="10"/>
      <c r="C27" s="12"/>
      <c r="D27" s="12"/>
      <c r="E27" s="12"/>
      <c r="F27" s="12"/>
      <c r="G27" s="12"/>
      <c r="H27" s="12"/>
      <c r="I27" s="7"/>
      <c r="J27" s="8"/>
      <c r="K27" s="7"/>
      <c r="L27" s="7"/>
    </row>
    <row r="28" customFormat="false" ht="15" hidden="false" customHeight="false" outlineLevel="0" collapsed="false">
      <c r="A28" s="10"/>
      <c r="B28" s="10"/>
      <c r="C28" s="12"/>
      <c r="D28" s="12"/>
      <c r="E28" s="12"/>
      <c r="F28" s="12"/>
      <c r="G28" s="12"/>
      <c r="H28" s="12"/>
      <c r="I28" s="7"/>
      <c r="J28" s="8"/>
      <c r="K28" s="7"/>
      <c r="L28" s="7"/>
    </row>
    <row r="29" customFormat="false" ht="15" hidden="false" customHeight="false" outlineLevel="0" collapsed="false">
      <c r="A29" s="9"/>
      <c r="B29" s="10" t="n">
        <v>16</v>
      </c>
      <c r="C29" s="12" t="n">
        <v>1</v>
      </c>
      <c r="D29" s="12" t="n">
        <v>20</v>
      </c>
      <c r="E29" s="12" t="n">
        <v>0.5</v>
      </c>
      <c r="F29" s="12" t="n">
        <v>10</v>
      </c>
      <c r="G29" s="12" t="n">
        <v>1</v>
      </c>
      <c r="H29" s="12" t="n">
        <v>1200</v>
      </c>
      <c r="I29" s="7"/>
      <c r="J29" s="18" t="n">
        <v>1.6</v>
      </c>
      <c r="K29" s="7" t="s">
        <v>82</v>
      </c>
      <c r="L29" s="7"/>
    </row>
    <row r="30" customFormat="false" ht="15" hidden="false" customHeight="false" outlineLevel="0" collapsed="false">
      <c r="A30" s="10"/>
      <c r="B30" s="10" t="n">
        <v>17</v>
      </c>
      <c r="C30" s="12" t="n">
        <v>0.5</v>
      </c>
      <c r="D30" s="12" t="n">
        <v>190</v>
      </c>
      <c r="E30" s="12" t="n">
        <v>0.011</v>
      </c>
      <c r="F30" s="12" t="n">
        <v>190</v>
      </c>
      <c r="G30" s="12" t="n">
        <v>0.011</v>
      </c>
      <c r="H30" s="12" t="n">
        <v>20000</v>
      </c>
      <c r="I30" s="7"/>
      <c r="J30" s="18" t="n">
        <v>0.013</v>
      </c>
      <c r="K30" s="7" t="s">
        <v>82</v>
      </c>
      <c r="L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customFormat="false" ht="15" hidden="false" customHeight="false" outlineLevel="0" collapsed="false">
      <c r="A36" s="19" t="s">
        <v>94</v>
      </c>
      <c r="B36" s="7" t="n">
        <v>2006</v>
      </c>
      <c r="C36" s="7" t="n">
        <v>1</v>
      </c>
      <c r="D36" s="7" t="n">
        <f aca="false">ROUND(33.345*1000/(2*9.242), 2)</f>
        <v>1803.99</v>
      </c>
      <c r="E36" s="7" t="n">
        <v>9.242</v>
      </c>
      <c r="F36" s="7" t="n">
        <f aca="false">ROUND(18.535*1000/(2*15.972), 2)</f>
        <v>580.23</v>
      </c>
      <c r="G36" s="7" t="n">
        <v>15.972</v>
      </c>
      <c r="H36" s="7" t="n">
        <v>1000000</v>
      </c>
      <c r="I36" s="7"/>
      <c r="J36" s="7"/>
      <c r="K36" s="7" t="s">
        <v>56</v>
      </c>
      <c r="L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86"/>
    <col collapsed="false" customWidth="true" hidden="false" outlineLevel="0" max="10" min="10" style="0" width="12.66"/>
    <col collapsed="false" customWidth="true" hidden="false" outlineLevel="0" max="11" min="11" style="0" width="12.1"/>
    <col collapsed="false" customWidth="true" hidden="false" outlineLevel="0" max="12" min="12" style="0" width="33.24"/>
    <col collapsed="false" customWidth="true" hidden="false" outlineLevel="0" max="13" min="13" style="0" width="59.96"/>
  </cols>
  <sheetData>
    <row r="1" customFormat="false" ht="15" hidden="false" customHeight="false" outlineLevel="0" collapsed="false">
      <c r="A1" s="6" t="s">
        <v>69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31</v>
      </c>
      <c r="I1" s="6" t="s">
        <v>95</v>
      </c>
      <c r="J1" s="6" t="s">
        <v>96</v>
      </c>
      <c r="K1" s="6" t="s">
        <v>97</v>
      </c>
      <c r="L1" s="8" t="s">
        <v>76</v>
      </c>
      <c r="M1" s="8"/>
      <c r="N1" s="7"/>
    </row>
    <row r="2" customFormat="false" ht="15" hidden="false" customHeight="false" outlineLevel="0" collapsed="false">
      <c r="A2" s="9"/>
      <c r="B2" s="10" t="n">
        <v>8</v>
      </c>
      <c r="C2" s="12" t="n">
        <v>1</v>
      </c>
      <c r="D2" s="12" t="n">
        <v>20</v>
      </c>
      <c r="E2" s="12" t="n">
        <v>0.5</v>
      </c>
      <c r="F2" s="12" t="n">
        <v>10</v>
      </c>
      <c r="G2" s="12" t="n">
        <v>1</v>
      </c>
      <c r="H2" s="12" t="n">
        <v>800</v>
      </c>
      <c r="I2" s="7" t="n">
        <v>1</v>
      </c>
      <c r="J2" s="7" t="n">
        <v>3</v>
      </c>
      <c r="K2" s="7" t="n">
        <v>0.5</v>
      </c>
      <c r="L2" s="13" t="n">
        <v>5</v>
      </c>
      <c r="M2" s="7" t="s">
        <v>98</v>
      </c>
      <c r="N2" s="7"/>
    </row>
    <row r="3" customFormat="false" ht="15" hidden="false" customHeight="false" outlineLevel="0" collapsed="false">
      <c r="A3" s="9"/>
      <c r="B3" s="10"/>
      <c r="C3" s="12"/>
      <c r="D3" s="12"/>
      <c r="E3" s="12"/>
      <c r="F3" s="12"/>
      <c r="G3" s="12"/>
      <c r="H3" s="12"/>
      <c r="I3" s="7"/>
      <c r="J3" s="7"/>
      <c r="K3" s="7"/>
      <c r="L3" s="13"/>
      <c r="M3" s="7"/>
      <c r="N3" s="7"/>
    </row>
    <row r="4" customFormat="false" ht="15" hidden="false" customHeight="false" outlineLevel="0" collapsed="false">
      <c r="A4" s="14"/>
      <c r="B4" s="14"/>
      <c r="C4" s="14"/>
      <c r="D4" s="14"/>
      <c r="E4" s="14"/>
      <c r="F4" s="14"/>
      <c r="G4" s="14"/>
      <c r="H4" s="14"/>
      <c r="I4" s="7"/>
      <c r="J4" s="7"/>
      <c r="K4" s="7"/>
      <c r="L4" s="8"/>
      <c r="M4" s="7"/>
      <c r="N4" s="7"/>
    </row>
    <row r="5" customFormat="false" ht="15" hidden="false" customHeight="false" outlineLevel="0" collapsed="false">
      <c r="A5" s="9" t="s">
        <v>87</v>
      </c>
      <c r="B5" s="10" t="n">
        <v>2009</v>
      </c>
      <c r="C5" s="12" t="n">
        <v>0.5</v>
      </c>
      <c r="D5" s="12" t="n">
        <v>3.125</v>
      </c>
      <c r="E5" s="12" t="n">
        <v>8</v>
      </c>
      <c r="F5" s="12" t="n">
        <v>625</v>
      </c>
      <c r="G5" s="12" t="n">
        <v>16</v>
      </c>
      <c r="H5" s="12" t="n">
        <v>100</v>
      </c>
      <c r="I5" s="7"/>
      <c r="J5" s="7"/>
      <c r="K5" s="7"/>
      <c r="L5" s="16"/>
      <c r="M5" s="14"/>
      <c r="N5" s="7"/>
    </row>
    <row r="6" customFormat="false" ht="15" hidden="false" customHeight="false" outlineLevel="0" collapsed="false">
      <c r="A6" s="9" t="s">
        <v>89</v>
      </c>
      <c r="B6" s="10" t="n">
        <v>2025</v>
      </c>
      <c r="C6" s="15" t="n">
        <v>0</v>
      </c>
      <c r="D6" s="12" t="n">
        <v>1900</v>
      </c>
      <c r="E6" s="12" t="n">
        <v>0.11</v>
      </c>
      <c r="F6" s="12" t="n">
        <v>1900</v>
      </c>
      <c r="G6" s="12" t="n">
        <v>0.11</v>
      </c>
      <c r="H6" s="12" t="n">
        <f aca="false">2*10^5</f>
        <v>200000</v>
      </c>
      <c r="I6" s="7"/>
      <c r="J6" s="7"/>
      <c r="K6" s="7"/>
      <c r="L6" s="16"/>
      <c r="M6" s="14"/>
      <c r="N6" s="7"/>
    </row>
    <row r="7" customFormat="false" ht="15" hidden="false" customHeight="false" outlineLevel="0" collapsed="false">
      <c r="A7" s="20" t="s">
        <v>94</v>
      </c>
      <c r="B7" s="7" t="n">
        <v>2006</v>
      </c>
      <c r="C7" s="7" t="n">
        <v>1</v>
      </c>
      <c r="D7" s="7" t="n">
        <f aca="false">ROUND(33.345/(2*9.242), 3)</f>
        <v>1.804</v>
      </c>
      <c r="E7" s="7" t="n">
        <v>9.242</v>
      </c>
      <c r="F7" s="7" t="n">
        <f aca="false">ROUND(18.535/(2*15.972), 3)</f>
        <v>0.58</v>
      </c>
      <c r="G7" s="7" t="n">
        <v>15.972</v>
      </c>
      <c r="H7" s="7" t="n">
        <v>1000</v>
      </c>
      <c r="I7" s="7"/>
      <c r="J7" s="7"/>
      <c r="K7" s="7"/>
      <c r="L7" s="7"/>
      <c r="M7" s="7" t="s">
        <v>56</v>
      </c>
      <c r="N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customFormat="false" ht="15" hidden="false" customHeight="false" outlineLevel="0" collapsed="false">
      <c r="A10" s="7"/>
      <c r="B10" s="10" t="n">
        <v>0</v>
      </c>
      <c r="C10" s="12" t="n">
        <v>1</v>
      </c>
      <c r="D10" s="12" t="n">
        <v>10</v>
      </c>
      <c r="E10" s="12" t="n">
        <v>0.5</v>
      </c>
      <c r="F10" s="12" t="n">
        <v>10</v>
      </c>
      <c r="G10" s="12" t="n">
        <v>0.5</v>
      </c>
      <c r="H10" s="12" t="n">
        <v>800</v>
      </c>
      <c r="I10" s="7"/>
      <c r="J10" s="7"/>
      <c r="K10" s="7"/>
      <c r="L10" s="7" t="n">
        <v>0.14</v>
      </c>
      <c r="M10" s="7" t="s">
        <v>99</v>
      </c>
      <c r="N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N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2026-03-09T15:01:30Z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